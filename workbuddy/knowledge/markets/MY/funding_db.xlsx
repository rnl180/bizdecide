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Programs" sheetId="2" state="visible" r:id="rId2"/>
    <sheet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9"/>
    </font>
    <font>
      <name val="Arial"/>
      <charset val="1"/>
      <family val="0"/>
      <color rgb="FF0563C1"/>
      <sz val="9"/>
      <u val="single"/>
    </font>
    <font>
      <name val="Arial"/>
      <charset val="1"/>
      <family val="0"/>
      <b val="1"/>
      <sz val="12"/>
    </font>
    <font>
      <name val="Arial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3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164" fontId="6" fillId="0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 wrapText="1"/>
    </xf>
    <xf numFmtId="0" fontId="5" fillId="2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3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164" fontId="6" fillId="0" borderId="0" applyAlignment="1" pivotButton="0" quotePrefix="0" xfId="0">
      <alignment horizontal="general" vertical="top" wrapText="1"/>
    </xf>
    <xf numFmtId="0" fontId="6" fillId="4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FundingPrograms" displayName="FundingPrograms" ref="A1:AA21" headerRowCount="1" totalsRowCount="0" totalsRowShown="0">
  <autoFilter ref="A1:AA21"/>
  <tableColumns count="27">
    <tableColumn id="1" name="ID"/>
    <tableColumn id="2" name="Programme"/>
    <tableColumn id="3" name="Agency"/>
    <tableColumn id="4" name="Type"/>
    <tableColumn id="5" name="Min (RM)"/>
    <tableColumn id="6" name="Max (RM)"/>
    <tableColumn id="7" name="Rate / cost"/>
    <tableColumn id="8" name="Tenure"/>
    <tableColumn id="9" name="Ownership rule"/>
    <tableColumn id="10" name="Bumi only"/>
    <tableColumn id="11" name="Women only"/>
    <tableColumn id="12" name="Age rule"/>
    <tableColumn id="13" name="Min operating period"/>
    <tableColumn id="14" name="Min turnover"/>
    <tableColumn id="15" name="Other eligibility"/>
    <tableColumn id="16" name="Sectors"/>
    <tableColumn id="17" name="Required documents"/>
    <tableColumn id="18" name="Deadline (as stated)"/>
    <tableColumn id="19" name="Deadline date"/>
    <tableColumn id="20" name="Days left"/>
    <tableColumn id="21" name="Status"/>
    <tableColumn id="22" name="How to apply"/>
    <tableColumn id="23" name="Official / source URL"/>
    <tableColumn id="24" name="Source type"/>
    <tableColumn id="25" name="Verify flag"/>
    <tableColumn id="26" name="Notes"/>
    <tableColumn id="27" name="Checked 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tekun.gov.my/en/tekun-niaga-financing-scheme-conditions/" TargetMode="External" Id="rId1" /><Relationship Type="http://schemas.openxmlformats.org/officeDocument/2006/relationships/hyperlink" Target="https://ringgitplus.com/ms/blog/sudut-pakar/nak-modal-bisnes-ini-perbezaan-tekun-aim-dan-bsn-madani-belia-yang-anda-perlu-tahu.html" TargetMode="External" Id="rId2" /><Relationship Type="http://schemas.openxmlformats.org/officeDocument/2006/relationships/hyperlink" Target="https://www.malaymail.com/news/malaysia/2026/05/16/pm-launches-paduri-madani-scheme-to-empower-b40-women-entrepreneurs-with-loans-up-to-rm30000/220175" TargetMode="External" Id="rId3" /><Relationship Type="http://schemas.openxmlformats.org/officeDocument/2006/relationships/hyperlink" Target="https://www.bsn.com.my/cms/upload/pdf/business/madani/faq/madani_belia.pdf" TargetMode="External" Id="rId4" /><Relationship Type="http://schemas.openxmlformats.org/officeDocument/2006/relationships/hyperlink" Target="https://bsn.com.my/page/MSMEMadani" TargetMode="External" Id="rId5" /><Relationship Type="http://schemas.openxmlformats.org/officeDocument/2006/relationships/hyperlink" Target="https://www.bnm.gov.my/funds4sme" TargetMode="External" Id="rId6" /><Relationship Type="http://schemas.openxmlformats.org/officeDocument/2006/relationships/hyperlink" Target="https://www.bnm.gov.my/microfinance" TargetMode="External" Id="rId7" /><Relationship Type="http://schemas.openxmlformats.org/officeDocument/2006/relationships/hyperlink" Target="https://www.bnm.gov.my/funds4sme" TargetMode="External" Id="rId8" /><Relationship Type="http://schemas.openxmlformats.org/officeDocument/2006/relationships/hyperlink" Target="https://www.bnm.gov.my/funds4sme" TargetMode="External" Id="rId9" /><Relationship Type="http://schemas.openxmlformats.org/officeDocument/2006/relationships/hyperlink" Target="https://www.cgc.com.my/?p=18289" TargetMode="External" Id="rId10" /><Relationship Type="http://schemas.openxmlformats.org/officeDocument/2006/relationships/hyperlink" Target="https://www.cgc.com.my/bizwanita-i" TargetMode="External" Id="rId11" /><Relationship Type="http://schemas.openxmlformats.org/officeDocument/2006/relationships/hyperlink" Target="https://sjpp.com.my/schemes/government-guarantee-scheme-madani-2026-ggsm-4" TargetMode="External" Id="rId12" /><Relationship Type="http://schemas.openxmlformats.org/officeDocument/2006/relationships/hyperlink" Target="https://www.sjpp.com.my/" TargetMode="External" Id="rId13" /><Relationship Type="http://schemas.openxmlformats.org/officeDocument/2006/relationships/hyperlink" Target="https://www.selangor.gov.my/gombak/resources/2023/PINJAMAN_DAN_PEMBIAYAAN_MARA.pdf" TargetMode="External" Id="rId14" /><Relationship Type="http://schemas.openxmlformats.org/officeDocument/2006/relationships/hyperlink" Target="https://www.punb.com.my/wp-content/uploads/2026/04/2026-PDS-PROSPER-GROW-BI.pdf" TargetMode="External" Id="rId15" /><Relationship Type="http://schemas.openxmlformats.org/officeDocument/2006/relationships/hyperlink" Target="https://www.thestar.com.my/news/nation/2026/07/22/agrobank-gpppkmm-team-up-to-boost-hawker-financing-nationwide" TargetMode="External" Id="rId16" /><Relationship Type="http://schemas.openxmlformats.org/officeDocument/2006/relationships/hyperlink" Target="https://www.smebank.com.my/technology-adoption-fund-techad" TargetMode="External" Id="rId17" /><Relationship Type="http://schemas.openxmlformats.org/officeDocument/2006/relationships/hyperlink" Target="https://cradle.com.my/grants/cip-sprint/" TargetMode="External" Id="rId18" /><Relationship Type="http://schemas.openxmlformats.org/officeDocument/2006/relationships/hyperlink" Target="https://www.mida.gov.my/forms-and-guidelines/special-tax-incentives-under-penjana/the-domestic-investment-accelerator-fund-diaf-esg-adoption/" TargetMode="External" Id="rId19" /><Relationship Type="http://schemas.openxmlformats.org/officeDocument/2006/relationships/hyperlink" Target="https://www.hijrahselangor.com/pages/niaga-plus" TargetMode="External" Id="rId20" /><Relationship Type="http://schemas.openxmlformats.org/officeDocument/2006/relationships/table" Target="/xl/tables/table1.xml" Id="rId2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1" min="1" max="1"/>
  </cols>
  <sheetData>
    <row r="1" ht="15" customHeight="1" s="12">
      <c r="A1" s="13" t="inlineStr">
        <is>
          <t>Funding programmes database for the SME financing agent (Masar Team, Dormathon 2026).</t>
        </is>
      </c>
    </row>
    <row r="2" ht="15" customHeight="1" s="12">
      <c r="A2" s="13" t="inlineStr">
        <is>
          <t>Compiled 10 Oct 2026 by web research. Each row was filled ONLY from the page in 'Official / source URL'.</t>
        </is>
      </c>
    </row>
    <row r="3" ht="15" customHeight="1" s="12">
      <c r="A3" s="13" t="inlineStr">
        <is>
          <t>'not stated' = the source page did not publish that field. Do not let the agent invent it; it should say 'confirm with agency'.</t>
        </is>
      </c>
    </row>
    <row r="4" ht="26.85" customHeight="1" s="12">
      <c r="A4" s="13" t="inlineStr">
        <is>
          <t>Yellow 'Verify flag' = secondary/news source, old source, or conflicting official dates. Check before the demo if the row is used on stage.</t>
        </is>
      </c>
    </row>
    <row r="5" ht="15" customHeight="1" s="12">
      <c r="A5" s="13" t="inlineStr">
        <is>
          <t>Deadline date + Days left (formula) are filled only where an explicit date was published.</t>
        </is>
      </c>
    </row>
    <row r="6" ht="26.85" customHeight="1" s="12">
      <c r="A6" s="13" t="inlineStr">
        <is>
          <t>BNM SME SRF end date resolved: BNM's FAQ (latest update 9 Oct 2026), brochure and funds page all say 30 Jun 2027 (the 15 May 2026 FAQ said 31 Dec 2026).</t>
        </is>
      </c>
    </row>
    <row r="7" ht="26.85" customHeight="1" s="12">
      <c r="A7" s="13" t="inlineStr">
        <is>
          <t>Rates quoted as 'flat' are charged on the original principal; effective annual rate is roughly 1.8x the flat rate over multi-year tenures.</t>
        </is>
      </c>
    </row>
    <row r="8" ht="26.85" customHeight="1" s="12">
      <c r="A8" s="13" t="inlineStr">
        <is>
          <t>This DB covers 20 programmes; the Entrepreneur Development Ministry says ~140 schemes exist (The Star, 1 Aug 2026). Say '20 of ~140' in the pitch, not 'all'.</t>
        </is>
      </c>
    </row>
    <row r="9" ht="15" customHeight="1" s="12">
      <c r="A9" s="13" t="inlineStr">
        <is>
          <t>Not legal or financial advice. Eligibility is decided by the agency/bank.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6" customWidth="1" style="11" min="1" max="1"/>
    <col width="34" customWidth="1" style="11" min="2" max="2"/>
    <col width="30" customWidth="1" style="11" min="3" max="3"/>
    <col width="20" customWidth="1" style="11" min="4" max="4"/>
    <col width="11" customWidth="1" style="11" min="5" max="5"/>
    <col width="13" customWidth="1" style="11" min="6" max="6"/>
    <col width="34" customWidth="1" style="11" min="7" max="7"/>
    <col width="22" customWidth="1" style="11" min="8" max="8"/>
    <col width="32" customWidth="1" style="11" min="9" max="9"/>
    <col width="9" customWidth="1" style="11" min="10" max="11"/>
    <col width="20" customWidth="1" style="11" min="12" max="12"/>
    <col width="24" customWidth="1" style="11" min="13" max="13"/>
    <col width="16" customWidth="1" style="11" min="14" max="14"/>
    <col width="50" customWidth="1" style="11" min="15" max="15"/>
    <col width="22" customWidth="1" style="11" min="16" max="16"/>
    <col width="55" customWidth="1" style="11" min="17" max="17"/>
    <col width="28" customWidth="1" style="11" min="18" max="18"/>
    <col width="13" customWidth="1" style="11" min="19" max="19"/>
    <col width="9" customWidth="1" style="11" min="20" max="20"/>
    <col width="24" customWidth="1" style="11" min="21" max="21"/>
    <col width="36" customWidth="1" style="11" min="22" max="22"/>
    <col width="45" customWidth="1" style="11" min="23" max="23"/>
    <col width="26" customWidth="1" style="11" min="24" max="24"/>
    <col width="22" customWidth="1" style="11" min="25" max="25"/>
    <col width="40" customWidth="1" style="11" min="26" max="26"/>
    <col width="12" customWidth="1" style="11" min="27" max="27"/>
  </cols>
  <sheetData>
    <row r="1" ht="39.55" customHeight="1" s="12">
      <c r="A1" s="14" t="inlineStr">
        <is>
          <t>ID</t>
        </is>
      </c>
      <c r="B1" s="14" t="inlineStr">
        <is>
          <t>Programme</t>
        </is>
      </c>
      <c r="C1" s="14" t="inlineStr">
        <is>
          <t>Agency</t>
        </is>
      </c>
      <c r="D1" s="14" t="inlineStr">
        <is>
          <t>Type</t>
        </is>
      </c>
      <c r="E1" s="14" t="inlineStr">
        <is>
          <t>Min (RM)</t>
        </is>
      </c>
      <c r="F1" s="14" t="inlineStr">
        <is>
          <t>Max (RM)</t>
        </is>
      </c>
      <c r="G1" s="14" t="inlineStr">
        <is>
          <t>Rate / cost</t>
        </is>
      </c>
      <c r="H1" s="14" t="inlineStr">
        <is>
          <t>Tenure</t>
        </is>
      </c>
      <c r="I1" s="14" t="inlineStr">
        <is>
          <t>Ownership rule</t>
        </is>
      </c>
      <c r="J1" s="14" t="inlineStr">
        <is>
          <t>Bumi only</t>
        </is>
      </c>
      <c r="K1" s="14" t="inlineStr">
        <is>
          <t>Women only</t>
        </is>
      </c>
      <c r="L1" s="14" t="inlineStr">
        <is>
          <t>Age rule</t>
        </is>
      </c>
      <c r="M1" s="14" t="inlineStr">
        <is>
          <t>Min operating period</t>
        </is>
      </c>
      <c r="N1" s="14" t="inlineStr">
        <is>
          <t>Min turnover</t>
        </is>
      </c>
      <c r="O1" s="14" t="inlineStr">
        <is>
          <t>Other eligibility</t>
        </is>
      </c>
      <c r="P1" s="14" t="inlineStr">
        <is>
          <t>Sectors</t>
        </is>
      </c>
      <c r="Q1" s="14" t="inlineStr">
        <is>
          <t>Required documents</t>
        </is>
      </c>
      <c r="R1" s="14" t="inlineStr">
        <is>
          <t>Deadline (as stated)</t>
        </is>
      </c>
      <c r="S1" s="14" t="inlineStr">
        <is>
          <t>Deadline date</t>
        </is>
      </c>
      <c r="T1" s="14" t="inlineStr">
        <is>
          <t>Days left</t>
        </is>
      </c>
      <c r="U1" s="14" t="inlineStr">
        <is>
          <t>Status</t>
        </is>
      </c>
      <c r="V1" s="14" t="inlineStr">
        <is>
          <t>How to apply</t>
        </is>
      </c>
      <c r="W1" s="14" t="inlineStr">
        <is>
          <t>Official / source URL</t>
        </is>
      </c>
      <c r="X1" s="14" t="inlineStr">
        <is>
          <t>Source type</t>
        </is>
      </c>
      <c r="Y1" s="14" t="inlineStr">
        <is>
          <t>Verify flag</t>
        </is>
      </c>
      <c r="Z1" s="14" t="inlineStr">
        <is>
          <t>Notes</t>
        </is>
      </c>
      <c r="AA1" s="14" t="inlineStr">
        <is>
          <t>Checked on</t>
        </is>
      </c>
    </row>
    <row r="2" ht="32.8" customHeight="1" s="12">
      <c r="A2" s="15" t="inlineStr">
        <is>
          <t>TEKUN-NIAGA</t>
        </is>
      </c>
      <c r="B2" s="15" t="inlineStr">
        <is>
          <t>TEKUN Niaga (SPM / SPK / SPS)</t>
        </is>
      </c>
      <c r="C2" s="15" t="inlineStr">
        <is>
          <t>TEKUN Nasional</t>
        </is>
      </c>
      <c r="D2" s="15" t="inlineStr">
        <is>
          <t>Microfinance loan</t>
        </is>
      </c>
      <c r="E2" s="16" t="n">
        <v>10001</v>
      </c>
      <c r="F2" s="16" t="n">
        <v>100000</v>
      </c>
      <c r="G2" s="15" t="inlineStr">
        <is>
          <t>4% of financing value per year (flat, for the whole tenure) + savings of 5% of financing value per year</t>
        </is>
      </c>
      <c r="H2" s="15" t="inlineStr">
        <is>
          <t>Up to 10 years (SPM and SPK up to 5 yrs; SPS up to 10 yrs)</t>
        </is>
      </c>
      <c r="I2" s="15" t="inlineStr">
        <is>
          <t>Malaysian citizen, Bumiputera; companies 100% Bumiputera-owned</t>
        </is>
      </c>
      <c r="J2" s="15" t="inlineStr">
        <is>
          <t>Y</t>
        </is>
      </c>
      <c r="K2" s="15" t="inlineStr">
        <is>
          <t>N</t>
        </is>
      </c>
      <c r="L2" s="15" t="inlineStr">
        <is>
          <t>18-65 at application; financing must end by 65</t>
        </is>
      </c>
      <c r="M2" s="15" t="inlineStr">
        <is>
          <t>not stated (application form covers both existing and new businesses)</t>
        </is>
      </c>
      <c r="N2" s="15" t="inlineStr">
        <is>
          <t>not stated</t>
        </is>
      </c>
      <c r="O2" s="15" t="inlineStr">
        <is>
          <t>Bumiputera Malaysian citizen; not bankrupt; companies 100% Bumiputera- and Malaysian-owned; valid PBT licence/permit or SSM registration; fixed, mobile or online business location; owner directly involved full- or part-time; one financing per household; paid-up capital ≤ RM300k; Shariah-compliant activity; group financing takaful mandatory; SKSPS self-employed social security mandatory for year 1. First financing: SPK RM10,001–50,000 or SPS RM50,001–100,000; SPM RM1,000–10,000 is for repeat/overlapping financing only</t>
        </is>
      </c>
      <c r="P2" s="15" t="inlineStr">
        <is>
          <t>All Shariah-compliant</t>
        </is>
      </c>
      <c r="Q2" s="15" t="inlineStr">
        <is>
          <t>Copy of IC of applicant and spouse if applicable (front and back); PBT licence/permit or SSM business registration; photos showing the business in operation; latest 3 months savings/current account bank statements showing applicant/company name, bank name and account number; additional documents if applicable</t>
        </is>
      </c>
      <c r="R2" s="15" t="inlineStr">
        <is>
          <t>Ongoing (no deadline stated)</t>
        </is>
      </c>
      <c r="S2" s="15" t="n"/>
      <c r="T2" s="15">
        <f>IF(S2="","",S2-TODAY())</f>
        <v/>
      </c>
      <c r="U2" s="15" t="inlineStr">
        <is>
          <t>Open (ongoing scheme)</t>
        </is>
      </c>
      <c r="V2" s="15" t="inlineStr">
        <is>
          <t>TEKUN branch counter near the business, or TEKUN Online (tekunonline.tekun.gov.my); 03-9059 8888</t>
        </is>
      </c>
      <c r="W2" s="17" t="inlineStr">
        <is>
          <t>https://www.tekun.gov.my/?page_id=281</t>
        </is>
      </c>
      <c r="X2" s="15" t="inlineStr">
        <is>
          <t>Official (TEKUN Niaga 'Syarat-syarat' page, updated 28 Nov 2025)</t>
        </is>
      </c>
      <c r="Y2" s="15" t="n"/>
      <c r="Z2" s="15" t="inlineStr">
        <is>
          <t>Old source URL (English conditions page) now returns 404. That page said age 18–60, ≥20% own cash for new businesses and other business financing ≤ RM100k; the current official page does not list those conditions. Rates are flat on original principal, so effective rate is higher (RinggitPlus, Jun 2026). One-time wakalah fee from RM50 to RM500 depending on amount.</t>
        </is>
      </c>
      <c r="AA2" s="18" t="n">
        <v>46305</v>
      </c>
    </row>
    <row r="3" ht="22.35" customHeight="1" s="12">
      <c r="A3" s="15" t="inlineStr">
        <is>
          <t>TEKUN-SPOT</t>
        </is>
      </c>
      <c r="B3" s="15" t="inlineStr">
        <is>
          <t>TEKUN SPOT (online businesses)</t>
        </is>
      </c>
      <c r="C3" s="15" t="inlineStr">
        <is>
          <t>TEKUN Nasional</t>
        </is>
      </c>
      <c r="D3" s="15" t="inlineStr">
        <is>
          <t>Microfinance loan</t>
        </is>
      </c>
      <c r="E3" s="16" t="n">
        <v>1000</v>
      </c>
      <c r="F3" s="16" t="n">
        <v>20000</v>
      </c>
      <c r="G3" s="15" t="inlineStr">
        <is>
          <t>3% p.a.</t>
        </is>
      </c>
      <c r="H3" s="15" t="inlineStr">
        <is>
          <t>Up to 5 years</t>
        </is>
      </c>
      <c r="I3" s="15" t="inlineStr">
        <is>
          <t>Bumiputera</t>
        </is>
      </c>
      <c r="J3" s="15" t="inlineStr">
        <is>
          <t>Y</t>
        </is>
      </c>
      <c r="K3" s="15" t="inlineStr">
        <is>
          <t>N</t>
        </is>
      </c>
      <c r="L3" s="15" t="inlineStr">
        <is>
          <t>18-65</t>
        </is>
      </c>
      <c r="M3" s="15" t="inlineStr">
        <is>
          <t>not stated</t>
        </is>
      </c>
      <c r="N3" s="15" t="inlineStr">
        <is>
          <t>not stated</t>
        </is>
      </c>
      <c r="O3" s="15" t="inlineStr">
        <is>
          <t>For online businesses; cap RM5,000 without SSM registration</t>
        </is>
      </c>
      <c r="P3" s="15" t="inlineStr">
        <is>
          <t>Online businesses</t>
        </is>
      </c>
      <c r="Q3" s="15" t="inlineStr">
        <is>
          <t>Not listed</t>
        </is>
      </c>
      <c r="R3" s="15" t="inlineStr">
        <is>
          <t>Ongoing</t>
        </is>
      </c>
      <c r="S3" s="15" t="n"/>
      <c r="T3" s="15">
        <f>IF(S3="","",S3-TODAY())</f>
        <v/>
      </c>
      <c r="U3" s="15" t="inlineStr">
        <is>
          <t>Open (per Jun 2026 article)</t>
        </is>
      </c>
      <c r="V3" s="15" t="inlineStr">
        <is>
          <t>Online via TEKUN</t>
        </is>
      </c>
      <c r="W3" s="17" t="inlineStr">
        <is>
          <t>https://ringgitplus.com/ms/blog/sudut-pakar/nak-modal-bisnes-ini-perbezaan-tekun-aim-dan-bsn-madani-belia-yang-anda-perlu-tahu.html</t>
        </is>
      </c>
      <c r="X3" s="15" t="inlineStr">
        <is>
          <t>Secondary (RinggitPlus, 15 Jun 2026)</t>
        </is>
      </c>
      <c r="Y3" s="19" t="inlineStr">
        <is>
          <t>VERIFY on tekun.gov.my</t>
        </is>
      </c>
      <c r="Z3" s="15" t="n"/>
      <c r="AA3" s="18" t="n">
        <v>46305</v>
      </c>
    </row>
    <row r="4" ht="32.8" customHeight="1" s="12">
      <c r="A4" s="15" t="inlineStr">
        <is>
          <t>AIM-PADURI</t>
        </is>
      </c>
      <c r="B4" s="15" t="inlineStr">
        <is>
          <t>PADURI MADANI (AIM)</t>
        </is>
      </c>
      <c r="C4" s="15" t="inlineStr">
        <is>
          <t>Amanah Ikhtiar Malaysia</t>
        </is>
      </c>
      <c r="D4" s="15" t="inlineStr">
        <is>
          <t>Microfinance loan</t>
        </is>
      </c>
      <c r="E4" s="16" t="n">
        <v>3000</v>
      </c>
      <c r="F4" s="16" t="n">
        <v>30000</v>
      </c>
      <c r="G4" s="15" t="inlineStr">
        <is>
          <t>not stated (AIM general: ~10% p.a. per RinggitPlus)</t>
        </is>
      </c>
      <c r="H4" s="15" t="inlineStr">
        <is>
          <t>not stated (weekly repayments)</t>
        </is>
      </c>
      <c r="I4" s="15" t="inlineStr">
        <is>
          <t>Malaysian</t>
        </is>
      </c>
      <c r="J4" s="15" t="inlineStr">
        <is>
          <t>N</t>
        </is>
      </c>
      <c r="K4" s="15" t="inlineStr">
        <is>
          <t>Y</t>
        </is>
      </c>
      <c r="L4" s="15" t="inlineStr">
        <is>
          <t>18+</t>
        </is>
      </c>
      <c r="M4" s="15" t="inlineStr">
        <is>
          <t>not stated</t>
        </is>
      </c>
      <c r="N4" s="15" t="inlineStr">
        <is>
          <t>not stated</t>
        </is>
      </c>
      <c r="O4" s="15" t="inlineStr">
        <is>
          <t>Household income ≤ RM5,880/month or per-capita ≤ RM1,470; no guarantor/collateral; blacklisted/bankrupt applicants accepted. Economic category RM3k–30k; social category up to RM15k</t>
        </is>
      </c>
      <c r="P4" s="15" t="inlineStr">
        <is>
          <t>All</t>
        </is>
      </c>
      <c r="Q4" s="15" t="inlineStr">
        <is>
          <t>Not published; confirm with AIM</t>
        </is>
      </c>
      <c r="R4" s="15" t="inlineStr">
        <is>
          <t>not stated</t>
        </is>
      </c>
      <c r="S4" s="15" t="n"/>
      <c r="T4" s="15">
        <f>IF(S4="","",S4-TODAY())</f>
        <v/>
      </c>
      <c r="U4" s="15" t="inlineStr">
        <is>
          <t>Launched 16 May 2026; targets 29,000 women</t>
        </is>
      </c>
      <c r="V4" s="15" t="inlineStr">
        <is>
          <t>AIM branch (aim.gov.my)</t>
        </is>
      </c>
      <c r="W4" s="17" t="inlineStr">
        <is>
          <t>https://www.malaymail.com/news/malaysia/2026/05/16/pm-launches-paduri-madani-scheme-to-empower-b40-women-entrepreneurs-with-loans-up-to-rm30000/220175</t>
        </is>
      </c>
      <c r="X4" s="15" t="inlineStr">
        <is>
          <t>News (Malay Mail)</t>
        </is>
      </c>
      <c r="Y4" s="19" t="inlineStr">
        <is>
          <t>VERIFY on aim.gov.my</t>
        </is>
      </c>
      <c r="Z4" s="15" t="inlineStr">
        <is>
          <t>Still unconfirmed: amounts (RM3k–30k economic, up to RM15k social), income test (household ≤ RM5,880/month or per-capita ≤ RM1,470), women-only rule, rate, tenure and documents. All come from news (Malay Mail, RinggitPlus, May 2026) because aim.gov.my refused connections from our network on 2026-10-10 (ports 80 and 443) and no other official page was found. Household-income test needs data the ledger doesn't hold: agent must ask the user.</t>
        </is>
      </c>
      <c r="AA4" s="18" t="n">
        <v>46305</v>
      </c>
    </row>
    <row r="5" ht="32.8" customHeight="1" s="12">
      <c r="A5" s="15" t="inlineStr">
        <is>
          <t>BSN-BELIA</t>
        </is>
      </c>
      <c r="B5" s="15" t="inlineStr">
        <is>
          <t>BSN Micro/i Madani Belia</t>
        </is>
      </c>
      <c r="C5" s="15" t="inlineStr">
        <is>
          <t>Bank Simpanan Nasional</t>
        </is>
      </c>
      <c r="D5" s="15" t="inlineStr">
        <is>
          <t>Microfinance loan</t>
        </is>
      </c>
      <c r="E5" s="16" t="n">
        <v>2000</v>
      </c>
      <c r="F5" s="16" t="n">
        <v>100000</v>
      </c>
      <c r="G5" s="15" t="inlineStr">
        <is>
          <t>3.50%–4.00% p.a. flat</t>
        </is>
      </c>
      <c r="H5" s="15" t="inlineStr">
        <is>
          <t>1–7 years</t>
        </is>
      </c>
      <c r="I5" s="15" t="inlineStr">
        <is>
          <t>Malaysian-owned; ≥51% owned/operated by youth ≤ 30</t>
        </is>
      </c>
      <c r="J5" s="15" t="inlineStr">
        <is>
          <t>N</t>
        </is>
      </c>
      <c r="K5" s="15" t="inlineStr">
        <is>
          <t>N</t>
        </is>
      </c>
      <c r="L5" s="15" t="inlineStr">
        <is>
          <t>Youth owner ≤ 30</t>
        </is>
      </c>
      <c r="M5" s="15" t="inlineStr">
        <is>
          <t>6 months</t>
        </is>
      </c>
      <c r="N5" s="15" t="inlineStr">
        <is>
          <t>not stated</t>
        </is>
      </c>
      <c r="O5" s="15" t="inlineStr">
        <is>
          <t>Micro enterprise; registered with SSM / local authority / professional body</t>
        </is>
      </c>
      <c r="P5" s="15" t="inlineStr">
        <is>
          <t>All</t>
        </is>
      </c>
      <c r="Q5" s="15" t="inlineStr">
        <is>
          <t>IC of owners/partners/directors; business registration or PBT licence; latest 6 months bank statements; premises electricity &amp; water bills; others on request</t>
        </is>
      </c>
      <c r="R5" s="15" t="inlineStr">
        <is>
          <t>not stated</t>
        </is>
      </c>
      <c r="S5" s="15" t="n"/>
      <c r="T5" s="15">
        <f>IF(S5="","",S5-TODAY())</f>
        <v/>
      </c>
      <c r="U5" s="15" t="inlineStr">
        <is>
          <t>Open (no closing date published)</t>
        </is>
      </c>
      <c r="V5" s="15" t="inlineStr">
        <is>
          <t>BSN Micro Finance Centre / state main branch / online; reply within 6 working days; 03-2613 1900</t>
        </is>
      </c>
      <c r="W5" s="17" t="inlineStr">
        <is>
          <t>https://www.bsn.com.my/cms/upload/pdf/business/madani/faq/madani_belia.pdf</t>
        </is>
      </c>
      <c r="X5" s="15" t="inlineStr">
        <is>
          <t>Official (FAQ PDF)</t>
        </is>
      </c>
      <c r="Y5" s="15" t="n"/>
      <c r="Z5" s="15" t="inlineStr">
        <is>
          <t>Reported to CCRIS.</t>
        </is>
      </c>
      <c r="AA5" s="18" t="n">
        <v>46305</v>
      </c>
    </row>
    <row r="6" ht="32.8" customHeight="1" s="12">
      <c r="A6" s="15" t="inlineStr">
        <is>
          <t>MSME-DIGITAL</t>
        </is>
      </c>
      <c r="B6" s="15" t="inlineStr">
        <is>
          <t>MSME Digital Grant MADANI</t>
        </is>
      </c>
      <c r="C6" s="15" t="inlineStr">
        <is>
          <t>BSN (disbursing) / MDEC (solution panel) / MOF</t>
        </is>
      </c>
      <c r="D6" s="15" t="inlineStr">
        <is>
          <t>Matching grant</t>
        </is>
      </c>
      <c r="E6" s="16" t="n">
        <v>0</v>
      </c>
      <c r="F6" s="16" t="n">
        <v>5000</v>
      </c>
      <c r="G6" s="15" t="inlineStr">
        <is>
          <t>Grant: up to 50% of invoice, max RM5,000</t>
        </is>
      </c>
      <c r="H6" s="15" t="inlineStr">
        <is>
          <t>n/a</t>
        </is>
      </c>
      <c r="I6" s="15" t="inlineStr">
        <is>
          <t>≥60% Malaysian citizens</t>
        </is>
      </c>
      <c r="J6" s="15" t="inlineStr">
        <is>
          <t>N</t>
        </is>
      </c>
      <c r="K6" s="15" t="inlineStr">
        <is>
          <t>N</t>
        </is>
      </c>
      <c r="L6" s="15" t="inlineStr">
        <is>
          <t>n/a</t>
        </is>
      </c>
      <c r="M6" s="15" t="inlineStr">
        <is>
          <t>6 months</t>
        </is>
      </c>
      <c r="N6" s="15" t="inlineStr">
        <is>
          <t>RM50,000 average annual</t>
        </is>
      </c>
      <c r="O6" s="15" t="inlineStr">
        <is>
          <t>Up to 3 digital services from MDEC-appointed providers (e-POS, HR/CRM, digital marketing, cybersecurity, ERP/accounting &amp; tax, digital signature, IoT, AI, e-invoice); not for SMEs that already received an earlier Digitalisation Matching Grant (except for e-invoice services); subject to allocation</t>
        </is>
      </c>
      <c r="P6" s="15" t="inlineStr">
        <is>
          <t>All</t>
        </is>
      </c>
      <c r="Q6" s="15" t="inlineStr">
        <is>
          <t>Copy of IC or passport of owner/director/partner/appointed representative; copy of SSM (or equivalent) registration; latest audited accounts OR latest management accounts OR last 2 months bank statements; quotation or payment invoice from the appointed service provider; other documents BSN requests</t>
        </is>
      </c>
      <c r="R6" s="15" t="inlineStr">
        <is>
          <t>Closed: applications closed effective 6 Sep 2025 (last day 5 Sep 2025)</t>
        </is>
      </c>
      <c r="S6" s="18" t="n">
        <v>45905</v>
      </c>
      <c r="T6" s="15">
        <f>IF(S6="","",S6-TODAY())</f>
        <v/>
      </c>
      <c r="U6" s="15" t="inlineStr">
        <is>
          <t>Closed (official application form); no 2026 round found on BSN or MDEC pages</t>
        </is>
      </c>
      <c r="V6" s="15" t="inlineStr">
        <is>
          <t>BSN 'Apply Now' links to the MDEC-appointed Funding Societies form, which is closed</t>
        </is>
      </c>
      <c r="W6" s="17" t="inlineStr">
        <is>
          <t>https://bsn.com.my/page/MSMEMadani</t>
        </is>
      </c>
      <c r="X6" s="15" t="inlineStr">
        <is>
          <t>Official (BSN page + BSN FAQ Aug 2025 https://www.bsn.com.my/cms/upload/pdf/business/msme_faq_aug_bm.pdf; closure notice on BSN's Apply Now form https://fundingsocieties.com.my/msme-digital-grant-madani)</t>
        </is>
      </c>
      <c r="Y6" s="15" t="n"/>
      <c r="Z6" s="15" t="inlineStr">
        <is>
          <t>Open status resolved: the application form BSN links to says 'applications closed effective 6 Sep 2025 (final day to apply: 5 Sep 2025)' in line with the Joint Committee's instruction. A commercial blog (aitraining2u, Jul 2026) mentions RM150m for SME digitalisation grants under Budget 2026, but no official 2026 round was found; re-check before the demo. If a new round opens, your own product could qualify if it is on the MDEC panel.</t>
        </is>
      </c>
      <c r="AA6" s="18" t="n">
        <v>46305</v>
      </c>
    </row>
    <row r="7" ht="43.25" customHeight="1" s="12">
      <c r="A7" s="15" t="inlineStr">
        <is>
          <t>BNM-SRF</t>
        </is>
      </c>
      <c r="B7" s="15" t="inlineStr">
        <is>
          <t>SME Stabilisation Relief Facility (SME SRF)</t>
        </is>
      </c>
      <c r="C7" s="15" t="inlineStr">
        <is>
          <t>Bank Negara Malaysia via participating FIs; guarantee by CGC/SJPP</t>
        </is>
      </c>
      <c r="D7" s="15" t="inlineStr">
        <is>
          <t>Concessionary loan (BNM Fund for SMEs)</t>
        </is>
      </c>
      <c r="E7" s="16" t="n">
        <v>0</v>
      </c>
      <c r="F7" s="16" t="n">
        <v>750000</v>
      </c>
      <c r="G7" s="15" t="inlineStr">
        <is>
          <t>Max 3.75% p.a. incl. 0.5% guarantee fee</t>
        </is>
      </c>
      <c r="H7" s="15" t="inlineStr">
        <is>
          <t>Up to 5 years</t>
        </is>
      </c>
      <c r="I7" s="15" t="inlineStr">
        <is>
          <t>≥51% Malaysian</t>
        </is>
      </c>
      <c r="J7" s="15" t="inlineStr">
        <is>
          <t>N</t>
        </is>
      </c>
      <c r="K7" s="15" t="inlineStr">
        <is>
          <t>N</t>
        </is>
      </c>
      <c r="L7" s="15" t="inlineStr">
        <is>
          <t>n/a</t>
        </is>
      </c>
      <c r="M7" s="15" t="inlineStr">
        <is>
          <t>not stated</t>
        </is>
      </c>
      <c r="N7" s="15" t="inlineStr">
        <is>
          <t>not stated</t>
        </is>
      </c>
      <c r="O7" s="15" t="inlineStr">
        <is>
          <t>Viable but materially affected by trade/supply-chain disruption from the Middle East conflict (since Mar 2026); working capital only; no refinancing; up to 80% guarantee from CGC or SJPP, no collateral; RM750k cap across all banks; open to new and existing bank customers; RM10 billion facility</t>
        </is>
      </c>
      <c r="P7" s="15" t="inlineStr">
        <is>
          <t>All</t>
        </is>
      </c>
      <c r="Q7" s="15" t="inlineStr">
        <is>
          <t>Bank statements and transaction records; CCRIS account conduct data; audited financial statements or management accounts; sales records, invoices, purchase orders; supplier contracts/correspondence showing cost increases, delays or cancellations; stock movement records; debtor/creditor ageing reports; final list set by each bank</t>
        </is>
      </c>
      <c r="R7" s="15" t="inlineStr">
        <is>
          <t>15 May 2026 to 30 Jun 2027 or until fully utilised (BNM FAQ latest update 9 Oct 2026 and brochure; the 15 May 2026 FAQ said 31 Dec 2026)</t>
        </is>
      </c>
      <c r="S7" s="18" t="n">
        <v>46568</v>
      </c>
      <c r="T7" s="15">
        <f>IF(S7="","",S7-TODAY())</f>
        <v/>
      </c>
      <c r="U7" s="15" t="inlineStr">
        <is>
          <t>Open</t>
        </is>
      </c>
      <c r="V7" s="15" t="inlineStr">
        <is>
          <t>Any participating bank / Islamic bank / DFI; decision target 7 business days</t>
        </is>
      </c>
      <c r="W7" s="17" t="inlineStr">
        <is>
          <t>https://www.bnm.gov.my/documents/20124/6025157/20261009-FAQ-SRF-EN.pdf</t>
        </is>
      </c>
      <c r="X7" s="15" t="inlineStr">
        <is>
          <t>Official (BNM SME SRF FAQ, latest update 9 Oct 2026; also https://www.bnm.gov.my/funds4sme and brochure https://www.bnm.gov.my/documents/20124/6025157/SME-SRF-Brochure-EN-8.pdf)</t>
        </is>
      </c>
      <c r="Y7" s="15" t="n"/>
      <c r="Z7" s="15" t="inlineStr">
        <is>
          <t>Deadline conflict resolved: BNM's FAQ (latest update 9 Oct 2026), brochure and funds page all say 30 Jun 2027; the FAQ now gives a RM10 billion facility (the 15 May 2026 FAQ said RM5 billion). Working capital only, so it cannot fund renovation or equipment capex. Strong demo hook: supplier price-rise invoices ARE the 'impact evidence' BNM lists.</t>
        </is>
      </c>
      <c r="AA7" s="18" t="n">
        <v>46305</v>
      </c>
    </row>
    <row r="8" ht="32.8" customHeight="1" s="12">
      <c r="A8" s="15" t="inlineStr">
        <is>
          <t>BNM-MEF</t>
        </is>
      </c>
      <c r="B8" s="15" t="inlineStr">
        <is>
          <t>Micro Enterprises Facility (MEF) / Skim Pembiayaan Mikro</t>
        </is>
      </c>
      <c r="C8" s="15" t="inlineStr">
        <is>
          <t>Bank Negara Malaysia via participating FIs</t>
        </is>
      </c>
      <c r="D8" s="15" t="inlineStr">
        <is>
          <t>Microfinance loan</t>
        </is>
      </c>
      <c r="E8" s="16" t="n">
        <v>1000</v>
      </c>
      <c r="F8" s="16" t="n">
        <v>100000</v>
      </c>
      <c r="G8" s="15" t="inlineStr">
        <is>
          <t>Varies by bank (BNM list as at 27 Jul 2026), e.g. BSN Mikro/i Madani 3.5%/4.0% flat; Bank Islam iTEKAD Maju 4% effective; Bank Rakyat MUsK MEF 6.5% flat</t>
        </is>
      </c>
      <c r="H8" s="15" t="inlineStr">
        <is>
          <t>Mostly up to 5–7 years</t>
        </is>
      </c>
      <c r="I8" s="15" t="inlineStr">
        <is>
          <t>Malaysian (product-specific)</t>
        </is>
      </c>
      <c r="J8" s="15" t="inlineStr">
        <is>
          <t>N</t>
        </is>
      </c>
      <c r="K8" s="15" t="inlineStr">
        <is>
          <t>N</t>
        </is>
      </c>
      <c r="L8" s="15" t="inlineStr">
        <is>
          <t>~18–70 depending on product</t>
        </is>
      </c>
      <c r="M8" s="15" t="inlineStr">
        <is>
          <t>6 months to 3 years depending on product</t>
        </is>
      </c>
      <c r="N8" s="15" t="inlineStr">
        <is>
          <t>not stated</t>
        </is>
      </c>
      <c r="O8" s="15" t="inlineStr">
        <is>
          <t>Microenterprises, social enterprises, professional service providers, self-employed incl. gig workers; no collateral (third-party guarantee may be required)</t>
        </is>
      </c>
      <c r="P8" s="15" t="inlineStr">
        <is>
          <t>All</t>
        </is>
      </c>
      <c r="Q8" s="15" t="inlineStr">
        <is>
          <t>IC of applicant/owners; proof of business operations (registration/licence/permit); proof of income (usually latest 6 months bank statements, sales records, or Form B/BE with tax receipt); other documents per bank (e.g. Maybank: 2 years audited or management accounts; Bank Islam iTEKAD: application form and utility bill)</t>
        </is>
      </c>
      <c r="R8" s="15" t="inlineStr">
        <is>
          <t>Ongoing</t>
        </is>
      </c>
      <c r="S8" s="15" t="n"/>
      <c r="T8" s="15">
        <f>IF(S8="","",S8-TODAY())</f>
        <v/>
      </c>
      <c r="U8" s="15" t="inlineStr">
        <is>
          <t>Open</t>
        </is>
      </c>
      <c r="V8" s="15" t="inlineStr">
        <is>
          <t>Participating FIs (BNM list as at 27 Jul 2026): Agrobank, Alliance, AmBank, Bank Islam, Bank Muamalat, Bank Rakyat, BSN, CIMB Islamic, Maybank, Public Bank, RHB (+ UOB)</t>
        </is>
      </c>
      <c r="W8" s="17" t="inlineStr">
        <is>
          <t>https://www.bnm.gov.my/microfinance</t>
        </is>
      </c>
      <c r="X8" s="15" t="inlineStr">
        <is>
          <t>Official</t>
        </is>
      </c>
      <c r="Y8" s="15" t="n"/>
      <c r="Z8" s="15" t="inlineStr">
        <is>
          <t>Range of effective rates is wide (AmBank 13.5–18% effective). Agent should rank by effective rate. BSN Mikro/i Madani has a Madani Wanita variant for women entrepreneurs. Documents differ by bank; the bnm.gov.my/microfinance page lists each bank's own list.</t>
        </is>
      </c>
      <c r="AA8" s="18" t="n">
        <v>46305</v>
      </c>
    </row>
    <row r="9" ht="22.35" customHeight="1" s="12">
      <c r="A9" s="15" t="inlineStr">
        <is>
          <t>BNM-PTF</t>
        </is>
      </c>
      <c r="B9" s="15" t="inlineStr">
        <is>
          <t>PENJANA Tourism Financing (PTF)</t>
        </is>
      </c>
      <c r="C9" s="15" t="inlineStr">
        <is>
          <t>Bank Negara Malaysia via participating FIs; SJPP guarantee</t>
        </is>
      </c>
      <c r="D9" s="15" t="inlineStr">
        <is>
          <t>Concessionary loan</t>
        </is>
      </c>
      <c r="E9" s="16" t="n">
        <v>0</v>
      </c>
      <c r="F9" s="16" t="n">
        <v>500000</v>
      </c>
      <c r="G9" s="15" t="inlineStr">
        <is>
          <t>not stated on page</t>
        </is>
      </c>
      <c r="H9" s="15" t="inlineStr">
        <is>
          <t>not stated on page</t>
        </is>
      </c>
      <c r="I9" s="15" t="inlineStr">
        <is>
          <t>SME</t>
        </is>
      </c>
      <c r="J9" s="15" t="inlineStr">
        <is>
          <t>N</t>
        </is>
      </c>
      <c r="K9" s="15" t="inlineStr">
        <is>
          <t>N</t>
        </is>
      </c>
      <c r="L9" s="15" t="inlineStr">
        <is>
          <t>n/a</t>
        </is>
      </c>
      <c r="M9" s="15" t="inlineStr">
        <is>
          <t>not stated</t>
        </is>
      </c>
      <c r="N9" s="15" t="inlineStr">
        <is>
          <t>not stated</t>
        </is>
      </c>
      <c r="O9" s="15" t="inlineStr">
        <is>
          <t>Tourism sectors/activities listed under National Tourism Policy 2020–2030; for expansion/investment (Visit Malaysia Year 2026)</t>
        </is>
      </c>
      <c r="P9" s="15" t="inlineStr">
        <is>
          <t>Tourism</t>
        </is>
      </c>
      <c r="Q9" s="15" t="inlineStr">
        <is>
          <t>See brochure/FAQ on BNM page</t>
        </is>
      </c>
      <c r="R9" s="15" t="inlineStr">
        <is>
          <t>not stated</t>
        </is>
      </c>
      <c r="S9" s="15" t="n"/>
      <c r="T9" s="15">
        <f>IF(S9="","",S9-TODAY())</f>
        <v/>
      </c>
      <c r="U9" s="15" t="inlineStr">
        <is>
          <t>Open</t>
        </is>
      </c>
      <c r="V9" s="15" t="inlineStr">
        <is>
          <t>Participating FIs</t>
        </is>
      </c>
      <c r="W9" s="17" t="inlineStr">
        <is>
          <t>https://www.bnm.gov.my/funds4sme</t>
        </is>
      </c>
      <c r="X9" s="15" t="inlineStr">
        <is>
          <t>Official</t>
        </is>
      </c>
      <c r="Y9" s="15" t="n"/>
      <c r="Z9" s="15" t="inlineStr">
        <is>
          <t>A neighbourhood kopitiam is unlikely to qualify unless tourism-linked.</t>
        </is>
      </c>
      <c r="AA9" s="18" t="n">
        <v>46305</v>
      </c>
    </row>
    <row r="10" ht="22.35" customHeight="1" s="12">
      <c r="A10" s="15" t="inlineStr">
        <is>
          <t>BNM-RAFT</t>
        </is>
      </c>
      <c r="B10" s="15" t="inlineStr">
        <is>
          <t>Relief and Adaptation Facility (RAFt)</t>
        </is>
      </c>
      <c r="C10" s="15" t="inlineStr">
        <is>
          <t>Bank Negara Malaysia via participating FIs</t>
        </is>
      </c>
      <c r="D10" s="15" t="inlineStr">
        <is>
          <t>Concessionary loan</t>
        </is>
      </c>
      <c r="E10" s="16" t="n">
        <v>0</v>
      </c>
      <c r="F10" s="16" t="n">
        <v>1000000</v>
      </c>
      <c r="G10" s="15" t="inlineStr">
        <is>
          <t>not stated on page</t>
        </is>
      </c>
      <c r="H10" s="15" t="inlineStr">
        <is>
          <t>not stated on page</t>
        </is>
      </c>
      <c r="I10" s="15" t="inlineStr">
        <is>
          <t>SME</t>
        </is>
      </c>
      <c r="J10" s="15" t="inlineStr">
        <is>
          <t>N</t>
        </is>
      </c>
      <c r="K10" s="15" t="inlineStr">
        <is>
          <t>N</t>
        </is>
      </c>
      <c r="L10" s="15" t="inlineStr">
        <is>
          <t>n/a</t>
        </is>
      </c>
      <c r="M10" s="15" t="inlineStr">
        <is>
          <t>not stated</t>
        </is>
      </c>
      <c r="N10" s="15" t="inlineStr">
        <is>
          <t>not stated</t>
        </is>
      </c>
      <c r="O10" s="15" t="inlineStr">
        <is>
          <t>Relief financing after major floods; adaptation financing (flood protection) anytime; up to RM1m each</t>
        </is>
      </c>
      <c r="P10" s="15" t="inlineStr">
        <is>
          <t>All</t>
        </is>
      </c>
      <c r="Q10" s="15" t="inlineStr">
        <is>
          <t>See brochure/FAQ on BNM page</t>
        </is>
      </c>
      <c r="R10" s="15" t="inlineStr">
        <is>
          <t>Adaptation: anytime</t>
        </is>
      </c>
      <c r="S10" s="15" t="n"/>
      <c r="T10" s="15">
        <f>IF(S10="","",S10-TODAY())</f>
        <v/>
      </c>
      <c r="U10" s="15" t="inlineStr">
        <is>
          <t>Open</t>
        </is>
      </c>
      <c r="V10" s="15" t="inlineStr">
        <is>
          <t>Participating FIs</t>
        </is>
      </c>
      <c r="W10" s="17" t="inlineStr">
        <is>
          <t>https://www.bnm.gov.my/funds4sme</t>
        </is>
      </c>
      <c r="X10" s="15" t="inlineStr">
        <is>
          <t>Official</t>
        </is>
      </c>
      <c r="Y10" s="15" t="n"/>
      <c r="Z10" s="15" t="inlineStr">
        <is>
          <t>Replaced Disaster Relief Facility in Aug 2025.</t>
        </is>
      </c>
      <c r="AA10" s="18" t="n">
        <v>46305</v>
      </c>
    </row>
    <row r="11" ht="32.8" customHeight="1" s="12">
      <c r="A11" s="15" t="inlineStr">
        <is>
          <t>CGC-BIZMULA</t>
        </is>
      </c>
      <c r="B11" s="15" t="inlineStr">
        <is>
          <t>BizMula-i</t>
        </is>
      </c>
      <c r="C11" s="15" t="inlineStr">
        <is>
          <t>Credit Guarantee Corporation (CGC), funded by BNM AES Facility</t>
        </is>
      </c>
      <c r="D11" s="15" t="inlineStr">
        <is>
          <t>Direct financing</t>
        </is>
      </c>
      <c r="E11" s="16" t="n">
        <v>30000</v>
      </c>
      <c r="F11" s="16" t="n">
        <v>300000</v>
      </c>
      <c r="G11" s="15" t="inlineStr">
        <is>
          <t>7.00% p.a. effective</t>
        </is>
      </c>
      <c r="H11" s="15" t="inlineStr">
        <is>
          <t>Up to 5 years</t>
        </is>
      </c>
      <c r="I11" s="15" t="inlineStr">
        <is>
          <t>≥51% Malaysian; PLC/GLC shareholding ≤ 20%</t>
        </is>
      </c>
      <c r="J11" s="15" t="inlineStr">
        <is>
          <t>N</t>
        </is>
      </c>
      <c r="K11" s="15" t="inlineStr">
        <is>
          <t>N</t>
        </is>
      </c>
      <c r="L11" s="15" t="inlineStr">
        <is>
          <t>Key person ≥21 at application, ≤65 at settlement</t>
        </is>
      </c>
      <c r="M11" s="15" t="inlineStr">
        <is>
          <t>Less than 4 years in operation (start-ups only)</t>
        </is>
      </c>
      <c r="N11" s="15" t="inlineStr">
        <is>
          <t>not stated</t>
        </is>
      </c>
      <c r="O11" s="15" t="inlineStr">
        <is>
          <t>Meets SME Corp definition; registered with SSM or equivalent</t>
        </is>
      </c>
      <c r="P11" s="15" t="inlineStr">
        <is>
          <t>All</t>
        </is>
      </c>
      <c r="Q11" s="15" t="inlineStr">
        <is>
          <t>Application form + supporting documents (list not published on page)</t>
        </is>
      </c>
      <c r="R11" s="15" t="inlineStr">
        <is>
          <t>not stated</t>
        </is>
      </c>
      <c r="S11" s="15" t="n"/>
      <c r="T11" s="15">
        <f>IF(S11="","",S11-TODAY())</f>
        <v/>
      </c>
      <c r="U11" s="15" t="inlineStr">
        <is>
          <t>Open (no period stated)</t>
        </is>
      </c>
      <c r="V11" s="15" t="inlineStr">
        <is>
          <t>Any CGC branch; form downloadable</t>
        </is>
      </c>
      <c r="W11" s="17" t="inlineStr">
        <is>
          <t>https://www.cgc.com.my/?p=18289</t>
        </is>
      </c>
      <c r="X11" s="15" t="inlineStr">
        <is>
          <t>Official</t>
        </is>
      </c>
      <c r="Y11" s="15" t="n"/>
      <c r="Z11" s="15" t="n"/>
      <c r="AA11" s="18" t="n">
        <v>46305</v>
      </c>
    </row>
    <row r="12" ht="22.35" customHeight="1" s="12">
      <c r="A12" s="15" t="inlineStr">
        <is>
          <t>CGC-BIZWANITA</t>
        </is>
      </c>
      <c r="B12" s="15" t="inlineStr">
        <is>
          <t>BizWanita-i</t>
        </is>
      </c>
      <c r="C12" s="15" t="inlineStr">
        <is>
          <t>Credit Guarantee Corporation (CGC)</t>
        </is>
      </c>
      <c r="D12" s="15" t="inlineStr">
        <is>
          <t>Direct financing</t>
        </is>
      </c>
      <c r="E12" s="15" t="n"/>
      <c r="F12" s="15" t="n"/>
      <c r="G12" s="15" t="inlineStr">
        <is>
          <t>6.80% p.a. effective</t>
        </is>
      </c>
      <c r="H12" s="15" t="inlineStr">
        <is>
          <t>not stated on page</t>
        </is>
      </c>
      <c r="I12" s="15" t="inlineStr">
        <is>
          <t>not stated on page</t>
        </is>
      </c>
      <c r="J12" s="15" t="inlineStr">
        <is>
          <t>N</t>
        </is>
      </c>
      <c r="K12" s="15" t="inlineStr">
        <is>
          <t>Y</t>
        </is>
      </c>
      <c r="L12" s="15" t="inlineStr">
        <is>
          <t>not stated</t>
        </is>
      </c>
      <c r="M12" s="15" t="inlineStr">
        <is>
          <t>Less than 4 years in operation</t>
        </is>
      </c>
      <c r="N12" s="15" t="inlineStr">
        <is>
          <t>not stated</t>
        </is>
      </c>
      <c r="O12" s="15" t="inlineStr">
        <is>
          <t>Direct financing for women entrepreneurs</t>
        </is>
      </c>
      <c r="P12" s="15" t="inlineStr">
        <is>
          <t>All</t>
        </is>
      </c>
      <c r="Q12" s="15" t="inlineStr">
        <is>
          <t>not stated</t>
        </is>
      </c>
      <c r="R12" s="15" t="inlineStr">
        <is>
          <t>not stated</t>
        </is>
      </c>
      <c r="S12" s="15" t="n"/>
      <c r="T12" s="15">
        <f>IF(S12="","",S12-TODAY())</f>
        <v/>
      </c>
      <c r="U12" s="15" t="inlineStr">
        <is>
          <t>Listed</t>
        </is>
      </c>
      <c r="V12" s="15" t="inlineStr">
        <is>
          <t>Contact form on CGC page / CGC Client Service Centre</t>
        </is>
      </c>
      <c r="W12" s="17" t="inlineStr">
        <is>
          <t>https://www.cgc.com.my/bizwanita-i</t>
        </is>
      </c>
      <c r="X12" s="15" t="inlineStr">
        <is>
          <t>Official (page incomplete)</t>
        </is>
      </c>
      <c r="Y12" s="19" t="inlineStr">
        <is>
          <t>VERIFY amount and tenure</t>
        </is>
      </c>
      <c r="Z12" s="15" t="inlineStr">
        <is>
          <t>Amount fields empty on official page.</t>
        </is>
      </c>
      <c r="AA12" s="18" t="n">
        <v>46305</v>
      </c>
    </row>
    <row r="13" ht="43.25" customHeight="1" s="12">
      <c r="A13" s="15" t="inlineStr">
        <is>
          <t>SJPP-GGSM4</t>
        </is>
      </c>
      <c r="B13" s="15" t="inlineStr">
        <is>
          <t>Government Guarantee Scheme MADANI 2026 (GGSM4)</t>
        </is>
      </c>
      <c r="C13" s="15" t="inlineStr">
        <is>
          <t>Syarikat Jaminan Pembiayaan Perniagaan (SJPP), MOF</t>
        </is>
      </c>
      <c r="D13" s="15" t="inlineStr">
        <is>
          <t>Loan guarantee (bank loan)</t>
        </is>
      </c>
      <c r="E13" s="15" t="n"/>
      <c r="F13" s="16" t="n">
        <v>20000000</v>
      </c>
      <c r="G13" s="15" t="inlineStr">
        <is>
          <t>Bank's BLR/BFR + max 2.0%; guarantee fee 0.5–1.0% p.a.</t>
        </is>
      </c>
      <c r="H13" s="15" t="inlineStr">
        <is>
          <t>Up to 7 years</t>
        </is>
      </c>
      <c r="I13" s="15" t="inlineStr">
        <is>
          <t>Sole prop: Malaysian citizen; partnerships/LLP majority Malaysian; companies ≥51% Malaysian</t>
        </is>
      </c>
      <c r="J13" s="15" t="inlineStr">
        <is>
          <t>N</t>
        </is>
      </c>
      <c r="K13" s="15" t="inlineStr">
        <is>
          <t>N</t>
        </is>
      </c>
      <c r="L13" s="15" t="inlineStr">
        <is>
          <t>n/a</t>
        </is>
      </c>
      <c r="M13" s="15" t="inlineStr">
        <is>
          <t>not stated</t>
        </is>
      </c>
      <c r="N13" s="15" t="inlineStr">
        <is>
          <t>not stated</t>
        </is>
      </c>
      <c r="O13" s="15" t="inlineStr">
        <is>
          <t>Guarantee up to 80% (MSME focus sectors: Bumiputera, Halal, Tourism, HGHV, other priority sectors) or 70%; working capital or capex, new financing only (no refinancing); government-funded or government-incentivised financing is not eligible for the guarantee; excludes GLCs, MoF Inc., state-owned enterprises, main-board PLCs, civil-servant owners without approval</t>
        </is>
      </c>
      <c r="P13" s="15" t="inlineStr">
        <is>
          <t>All</t>
        </is>
      </c>
      <c r="Q13" s="15" t="inlineStr">
        <is>
          <t>Not published by SJPP; SJPP FAQ says to provide the documents required by the participating bank. Confirm with SJPP or your bank</t>
        </is>
      </c>
      <c r="R13" s="15" t="inlineStr">
        <is>
          <t>30 Jun 2027 or until fully utilised</t>
        </is>
      </c>
      <c r="S13" s="18" t="n">
        <v>46568</v>
      </c>
      <c r="T13" s="15">
        <f>IF(S13="","",S13-TODAY())</f>
        <v/>
      </c>
      <c r="U13" s="15" t="inlineStr">
        <is>
          <t>Open</t>
        </is>
      </c>
      <c r="V13" s="15" t="inlineStr">
        <is>
          <t>Through participating banks; SJPP +603 2096 5000</t>
        </is>
      </c>
      <c r="W13" s="17" t="inlineStr">
        <is>
          <t>https://sjpp.com.my/schemes/government-guarantee-scheme-madani-2026-ggsm-4</t>
        </is>
      </c>
      <c r="X13" s="15" t="inlineStr">
        <is>
          <t>Official (scheme page + GGSM4 brochure Apr 2026 https://sjpp.com.my/images/scheme-brochure/cover2/GGSM4_brochure.pdf)</t>
        </is>
      </c>
      <c r="Y13" s="15" t="n"/>
      <c r="Z13" s="15" t="inlineStr">
        <is>
          <t>MSME limit RM20m; group aggregate RM50m across SJPP schemes. SMEs apply to a participating bank, which forwards the case to SJPP. Guarantee fee 0.5% p.a. where BNM funding to the bank is at 0%, 0.75% for HGHV/focus sectors, 1.0% for others.</t>
        </is>
      </c>
      <c r="AA13" s="18" t="n">
        <v>46305</v>
      </c>
    </row>
    <row r="14" ht="32.8" customHeight="1" s="12">
      <c r="A14" s="15" t="inlineStr">
        <is>
          <t>SJPP-WCGS-W</t>
        </is>
      </c>
      <c r="B14" s="15" t="inlineStr">
        <is>
          <t>Working Capital Guarantee Scheme – Women (WCGS-Women)</t>
        </is>
      </c>
      <c r="C14" s="15" t="inlineStr">
        <is>
          <t>SJPP</t>
        </is>
      </c>
      <c r="D14" s="15" t="inlineStr">
        <is>
          <t>Loan guarantee</t>
        </is>
      </c>
      <c r="E14" s="16" t="n">
        <v>100000</v>
      </c>
      <c r="F14" s="16" t="n">
        <v>1000000</v>
      </c>
      <c r="G14" s="15" t="inlineStr">
        <is>
          <t>Guarantee fee 0.75% p.a. (2% rebate no longer available)</t>
        </is>
      </c>
      <c r="H14" s="15" t="inlineStr">
        <is>
          <t>not stated</t>
        </is>
      </c>
      <c r="I14" s="15" t="inlineStr">
        <is>
          <t>Malaysian</t>
        </is>
      </c>
      <c r="J14" s="15" t="inlineStr">
        <is>
          <t>N</t>
        </is>
      </c>
      <c r="K14" s="15" t="inlineStr">
        <is>
          <t>Y</t>
        </is>
      </c>
      <c r="L14" s="15" t="inlineStr">
        <is>
          <t>n/a</t>
        </is>
      </c>
      <c r="M14" s="15" t="inlineStr">
        <is>
          <t>not stated</t>
        </is>
      </c>
      <c r="N14" s="15" t="inlineStr">
        <is>
          <t>not stated</t>
        </is>
      </c>
      <c r="O14" s="15" t="inlineStr">
        <is>
          <t>Guarantee cover 80%; sibling schemes: WCGS (RM100k–10m, 70%), WCGS-Bumiputera (RM100k–3m, 80%), WCGS-Start Up (RM100k–500k, 70%)</t>
        </is>
      </c>
      <c r="P14" s="15" t="inlineStr">
        <is>
          <t>All</t>
        </is>
      </c>
      <c r="Q14" s="15" t="inlineStr">
        <is>
          <t>via bank</t>
        </is>
      </c>
      <c r="R14" s="15" t="inlineStr">
        <is>
          <t>not stated</t>
        </is>
      </c>
      <c r="S14" s="15" t="n"/>
      <c r="T14" s="15">
        <f>IF(S14="","",S14-TODAY())</f>
        <v/>
      </c>
      <c r="U14" s="15" t="inlineStr">
        <is>
          <t>Listed; 2026 open status not confirmed on page</t>
        </is>
      </c>
      <c r="V14" s="15" t="inlineStr">
        <is>
          <t>Participating banks</t>
        </is>
      </c>
      <c r="W14" s="17" t="inlineStr">
        <is>
          <t>https://www.sjpp.com.my/</t>
        </is>
      </c>
      <c r="X14" s="15" t="inlineStr">
        <is>
          <t>Official (home page table)</t>
        </is>
      </c>
      <c r="Y14" s="19" t="inlineStr">
        <is>
          <t>VERIFY still open in 2026</t>
        </is>
      </c>
      <c r="Z14" s="15" t="n"/>
      <c r="AA14" s="18" t="n">
        <v>46305</v>
      </c>
    </row>
    <row r="15" ht="32.8" customHeight="1" s="12">
      <c r="A15" s="15" t="inlineStr">
        <is>
          <t>MARA-SEMAI</t>
        </is>
      </c>
      <c r="B15" s="15" t="inlineStr">
        <is>
          <t>MARA DanaNITA (women) / SEMAi (IPMa graduates) / PUTRA (youth)</t>
        </is>
      </c>
      <c r="C15" s="15" t="inlineStr">
        <is>
          <t>Majlis Amanah Rakyat (MARA)</t>
        </is>
      </c>
      <c r="D15" s="15" t="inlineStr">
        <is>
          <t>Business loan</t>
        </is>
      </c>
      <c r="E15" s="15" t="n"/>
      <c r="F15" s="16" t="n">
        <v>150000</v>
      </c>
      <c r="G15" s="15" t="inlineStr">
        <is>
          <t>DanaNITA 3.5% profit rate; SEMAi 4%; basis (flat or reducing) not stated</t>
        </is>
      </c>
      <c r="H15" s="15" t="inlineStr">
        <is>
          <t>DanaNITA 1–10 years (12–120 months); SEMAi 1–5 years</t>
        </is>
      </c>
      <c r="I15" s="15" t="inlineStr">
        <is>
          <t>Bumiputera Malaysian citizen; DanaNITA: majority 51% shareholding by women</t>
        </is>
      </c>
      <c r="J15" s="15" t="inlineStr">
        <is>
          <t>Y</t>
        </is>
      </c>
      <c r="K15" s="15" t="inlineStr">
        <is>
          <t>DanaNITA: Y</t>
        </is>
      </c>
      <c r="L15" s="15" t="inlineStr">
        <is>
          <t>DanaNITA 18–60; SEMAi 18–50; PUTRA ≤40</t>
        </is>
      </c>
      <c r="M15" s="15" t="inlineStr">
        <is>
          <t>DanaNITA: 6 months</t>
        </is>
      </c>
      <c r="N15" s="15" t="inlineStr">
        <is>
          <t>not stated</t>
        </is>
      </c>
      <c r="O15" s="15" t="inlineStr">
        <is>
          <t>DanaNITA (up to RM150k, Bumiputera women expanding a business): SSM registration; business premises (except online businesses); PBT licence/permit (waived for ≤ RM50k); full-time business; active savings account for latest 6 months; experience/knowledge in the business; Shariah-compliant; not on MARA blacklist; scope = working capital, machines and equipment; no guarantor/collateral for ≤ RM50k, above that a guarantor, land collateral or 10% fixed deposit; grace period up to 12 months. SEMAi (RM10k–50k, 4%) is only for MARA education institution (IPMa) graduates and covers premises renovation. PUTRA: youth ≤40, up to RM10k. SPiM: Bumiputera capacity/expansion up to RM500k. SPiKE: contractors, up to RM1m</t>
        </is>
      </c>
      <c r="P15" s="15" t="inlineStr">
        <is>
          <t>All Shariah-compliant (SPiKE: contractors)</t>
        </is>
      </c>
      <c r="Q15" s="15" t="inlineStr">
        <is>
          <t>No full checklist published (applications via MyUsahawan login). Items named in DanaNITA conditions: SSM registration; PBT licence/permit (waived ≤ RM50k); bank statements for 3 months (online statements accepted); quotation for renovation or machinery (waived ≤ RM50k); guarantor, land collateral or fixed-deposit documents if &gt; RM50k. Confirm full list with MARA</t>
        </is>
      </c>
      <c r="R15" s="15" t="inlineStr">
        <is>
          <t>not stated (ongoing)</t>
        </is>
      </c>
      <c r="S15" s="15" t="n"/>
      <c r="T15" s="15">
        <f>IF(S15="","",S15-TODAY())</f>
        <v/>
      </c>
      <c r="U15" s="15" t="inlineStr">
        <is>
          <t>Listed on mara.gov.my</t>
        </is>
      </c>
      <c r="V15" s="15" t="inlineStr">
        <is>
          <t>Online via MyUsahawan (myusahawan.mara.gov.my) or MARA district office; MARA hotline 03-2613 2000</t>
        </is>
      </c>
      <c r="W15" s="17" t="inlineStr">
        <is>
          <t>https://www.mara.gov.my/bm/menu_keusahawanan/kemudahan-sokongan/pembiayaan-perniagaan-2/dananita/</t>
        </is>
      </c>
      <c r="X15" s="15" t="inlineStr">
        <is>
          <t>Official (mara.gov.my DanaNITA page; SEMAi page https://www.mara.gov.my/bm/menu_keusahawanan/kemudahan-sokongan/pembiayaan-perniagaan-2/semai/; scheme list https://www.mara.gov.my/bm/menu_keusahawanan/kemudahan-sokongan/pembiayaan-perniagaan-2/)</t>
        </is>
      </c>
      <c r="Y15" s="15" t="n"/>
      <c r="Z15" s="15" t="inlineStr">
        <is>
          <t>Correction: the 2023 brochure mapping was wrong. On mara.gov.my, SEMAi is for IPMa graduates (max RM50k) and the Bumiputera-women scheme up to RM150k is DanaNITA. ID kept as MARA-SEMAI so existing links work. DanaNITA scope lists working capital and machines/equipment, not renovation. Pages carry no update date (site copyright 2025).</t>
        </is>
      </c>
      <c r="AA15" s="18" t="n">
        <v>46305</v>
      </c>
    </row>
    <row r="16" ht="43.25" customHeight="1" s="12">
      <c r="A16" s="15" t="inlineStr">
        <is>
          <t>PUNB-GROW</t>
        </is>
      </c>
      <c r="B16" s="15" t="inlineStr">
        <is>
          <t>PROSPER GROW</t>
        </is>
      </c>
      <c r="C16" s="15" t="inlineStr">
        <is>
          <t>Perbadanan Usahawan Nasional Berhad (PUNB)</t>
        </is>
      </c>
      <c r="D16" s="15" t="inlineStr">
        <is>
          <t>Term financing</t>
        </is>
      </c>
      <c r="E16" s="15" t="n"/>
      <c r="F16" s="16" t="n">
        <v>1000000</v>
      </c>
      <c r="G16" s="15" t="inlineStr">
        <is>
          <t>3.5% p.a. flat</t>
        </is>
      </c>
      <c r="H16" s="15" t="inlineStr">
        <is>
          <t>Up to 7 years</t>
        </is>
      </c>
      <c r="I16" s="15" t="inlineStr">
        <is>
          <t>Sole prop/partnership/LLP 100% Bumiputera; Sdn Bhd ≥51% Bumiputera</t>
        </is>
      </c>
      <c r="J16" s="15" t="inlineStr">
        <is>
          <t>Y</t>
        </is>
      </c>
      <c r="K16" s="15" t="inlineStr">
        <is>
          <t>N</t>
        </is>
      </c>
      <c r="L16" s="15" t="inlineStr">
        <is>
          <t>not stated</t>
        </is>
      </c>
      <c r="M16" s="15" t="inlineStr">
        <is>
          <t>18 months</t>
        </is>
      </c>
      <c r="N16" s="15" t="inlineStr">
        <is>
          <t>RM300,000 annual</t>
        </is>
      </c>
      <c r="O16" s="15" t="inlineStr">
        <is>
          <t>Max RM500k (sole prop/partnership/LLP), RM1m (Sdn Bhd); retail, distributive trade, manufacturing targeted; excludes agriculture, mining, property, financial services; term + business premises takaful mandatory; personal guarantee required</t>
        </is>
      </c>
      <c r="P16" s="15" t="inlineStr">
        <is>
          <t>Retail, distributive trade, manufacturing (others allowed with exclusions)</t>
        </is>
      </c>
      <c r="Q16" s="15" t="inlineStr">
        <is>
          <t>PDP form (on PUNB online portal); latest IC copies of applicant and directors; passport-size photos of applicant and directors; SSM search printed within 2 months; photos of existing/proposed premises and products; valid tenancy agreement (if applicable); current-year management account and/or latest 2 years audited accounts; latest 6 months bank statements; quotations per project cost</t>
        </is>
      </c>
      <c r="R16" s="15" t="inlineStr">
        <is>
          <t>not stated</t>
        </is>
      </c>
      <c r="S16" s="15" t="n"/>
      <c r="T16" s="15">
        <f>IF(S16="","",S16-TODAY())</f>
        <v/>
      </c>
      <c r="U16" s="15" t="inlineStr">
        <is>
          <t>Open (2026 PDS)</t>
        </is>
      </c>
      <c r="V16" s="15" t="inlineStr">
        <is>
          <t>PUNB entrepreneur portal: entreportal.punb.com.my</t>
        </is>
      </c>
      <c r="W16" s="17" t="inlineStr">
        <is>
          <t>https://www.punb.com.my/wp-content/uploads/2026/04/2026-PDS-PROSPER-GROW-BI.pdf</t>
        </is>
      </c>
      <c r="X16" s="15" t="inlineStr">
        <is>
          <t>Official (Product Disclosure Sheet, Apr 2026)</t>
        </is>
      </c>
      <c r="Y16" s="15" t="n"/>
      <c r="Z16" s="15" t="inlineStr">
        <is>
          <t>Document list is PDS section 12; PUNB may ask for more during credit assessment.</t>
        </is>
      </c>
      <c r="AA16" s="18" t="n">
        <v>46305</v>
      </c>
    </row>
    <row r="17" ht="22.35" customHeight="1" s="12">
      <c r="A17" s="15" t="inlineStr">
        <is>
          <t>AGRO-PENJAJA</t>
        </is>
      </c>
      <c r="B17" s="15" t="inlineStr">
        <is>
          <t>Agro Penjaja-i</t>
        </is>
      </c>
      <c r="C17" s="15" t="inlineStr">
        <is>
          <t>Agrobank (with GPPPKMM hawkers' association)</t>
        </is>
      </c>
      <c r="D17" s="15" t="inlineStr">
        <is>
          <t>Membership initiative: micro financing + Cashline-i + Ar-Rahnu</t>
        </is>
      </c>
      <c r="E17" s="15" t="n">
        <v>1000</v>
      </c>
      <c r="F17" s="16" t="n">
        <v>100000</v>
      </c>
      <c r="G17" s="15" t="inlineStr">
        <is>
          <t>Micro financing via MRP 2.0 (the related product named in the T&amp;C): from 4.75% p.a. on monthly rest; Cashline-i: BFR + 2.5% p.a.</t>
        </is>
      </c>
      <c r="H17" s="15" t="inlineStr">
        <is>
          <t>MRP 2.0 up to 7 years (84 months); Cashline-i up to 5 years (annual review)</t>
        </is>
      </c>
      <c r="I17" s="15" t="inlineStr">
        <is>
          <t>Individuals or non-individuals registered as SMEs and below; Malaysian citizen (MRP 2.0, Cashline-i)</t>
        </is>
      </c>
      <c r="J17" s="15" t="inlineStr">
        <is>
          <t>N</t>
        </is>
      </c>
      <c r="K17" s="15" t="inlineStr">
        <is>
          <t>N</t>
        </is>
      </c>
      <c r="L17" s="15" t="inlineStr">
        <is>
          <t>21 at application to 70 at end of financing (MRP 2.0, Cashline-i)</t>
        </is>
      </c>
      <c r="M17" s="15" t="inlineStr">
        <is>
          <t>12 months (MRP 2.0, Cashline-i)</t>
        </is>
      </c>
      <c r="N17" s="15" t="inlineStr">
        <is>
          <t>not stated</t>
        </is>
      </c>
      <c r="O17" s="15" t="inlineStr">
        <is>
          <t>Join by opening an Agro Tani Saudagar-i (individual) or Agro Perdana Saudagar-i (non-individual) account; existing Agrobank micro/hawker customers join automatically; Shariah-compliant business. MRP 2.0 (RM1k–100k): micro enterprise per SME Corp definition; no collateral; covers operating costs and purchase or development of fixed assets; refinancing allowed. Also Cashline-i RM1k–5k and Ar-Rahnu up to RM300k</t>
        </is>
      </c>
      <c r="P17" s="15" t="inlineStr">
        <is>
          <t>Hawkers / micro F&amp;B and other Shariah-compliant micro businesses (MRP 2.0 focuses on the food production value chain)</t>
        </is>
      </c>
      <c r="Q17" s="15" t="inlineStr">
        <is>
          <t>Membership account (individual): MyKad; valid PBT business licence. Micro financing (MRP 2.0): completed application form; copy of IC (and joint applicant's, if any); latest 12 months savings account statements or sales records; copy of business registration or licence (fixed premises); any accepted proof of income</t>
        </is>
      </c>
      <c r="R17" s="15" t="inlineStr">
        <is>
          <t>not stated (ongoing)</t>
        </is>
      </c>
      <c r="S17" s="15" t="n"/>
      <c r="T17" s="15">
        <f>IF(S17="","",S17-TODAY())</f>
        <v/>
      </c>
      <c r="U17" s="15" t="inlineStr">
        <is>
          <t>Open (product page live; T&amp;C and FAQ dated May 2026; nationwide with GPPPKMM from Jul 2026)</t>
        </is>
      </c>
      <c r="V17" s="15" t="inlineStr">
        <is>
          <t>Any Agrobank branch (individual account can also be opened online); 1-300-88-2476</t>
        </is>
      </c>
      <c r="W17" s="17" t="inlineStr">
        <is>
          <t>https://www.agrobank.com.my/product/agro-penjaja-i/</t>
        </is>
      </c>
      <c r="X17" s="15" t="inlineStr">
        <is>
          <t>Official (Agrobank product page + programme T&amp;C and FAQ PDFs, May 2026; MRP 2.0 page https://www.agrobank.com.my/product/microenterprise-special-relief/)</t>
        </is>
      </c>
      <c r="Y17" s="15" t="n"/>
      <c r="Z17" s="15" t="inlineStr">
        <is>
          <t>Most F&amp;B-specific scheme in the DB. Membership gives access to offers; each financing still needs its own approval. T&amp;C section 2 names MRP 2.0 as the related micro-financing product. agrobank.com.my serves an incomplete TLS certificate chain, so some automated fetchers fail on it.</t>
        </is>
      </c>
      <c r="AA17" s="18" t="n">
        <v>46305</v>
      </c>
    </row>
    <row r="18" ht="22.35" customHeight="1" s="12">
      <c r="A18" s="15" t="inlineStr">
        <is>
          <t>SMEBANK-TECHAD</t>
        </is>
      </c>
      <c r="B18" s="15" t="inlineStr">
        <is>
          <t>Technology Adoption Fund (TECHAD)</t>
        </is>
      </c>
      <c r="C18" s="15" t="inlineStr">
        <is>
          <t>SME Bank</t>
        </is>
      </c>
      <c r="D18" s="15" t="inlineStr">
        <is>
          <t>Term financing</t>
        </is>
      </c>
      <c r="E18" s="16" t="n">
        <v>100000</v>
      </c>
      <c r="F18" s="16" t="n">
        <v>10000000</v>
      </c>
      <c r="G18" s="15" t="inlineStr">
        <is>
          <t>Up to BFR + 2.5% p.a.</t>
        </is>
      </c>
      <c r="H18" s="15" t="inlineStr">
        <is>
          <t>Up to 10 yrs (assets) / 5 yrs (working capital)</t>
        </is>
      </c>
      <c r="I18" s="15" t="inlineStr">
        <is>
          <t>≥51% Malaysian residents; PLC/GLC ≤ 20%</t>
        </is>
      </c>
      <c r="J18" s="15" t="inlineStr">
        <is>
          <t>N</t>
        </is>
      </c>
      <c r="K18" s="15" t="inlineStr">
        <is>
          <t>N</t>
        </is>
      </c>
      <c r="L18" s="15" t="inlineStr">
        <is>
          <t>n/a</t>
        </is>
      </c>
      <c r="M18" s="15" t="inlineStr">
        <is>
          <t>2 years</t>
        </is>
      </c>
      <c r="N18" s="15" t="inlineStr">
        <is>
          <t>not stated</t>
        </is>
      </c>
      <c r="O18" s="15" t="inlineStr">
        <is>
          <t>MSME per SME Corp; Shariah-compliant; for digitalisation/automation; margin up to 80% (assets) / 100% (WC)</t>
        </is>
      </c>
      <c r="P18" s="15" t="inlineStr">
        <is>
          <t>All</t>
        </is>
      </c>
      <c r="Q18" s="15" t="inlineStr">
        <is>
          <t>Not listed; see PDS</t>
        </is>
      </c>
      <c r="R18" s="15" t="inlineStr">
        <is>
          <t>not stated</t>
        </is>
      </c>
      <c r="S18" s="15" t="n"/>
      <c r="T18" s="15">
        <f>IF(S18="","",S18-TODAY())</f>
        <v/>
      </c>
      <c r="U18" s="15" t="inlineStr">
        <is>
          <t>Open</t>
        </is>
      </c>
      <c r="V18" s="15" t="inlineStr">
        <is>
          <t>mySME Bank portal (mysmebank.com.my); 03-2603 7700</t>
        </is>
      </c>
      <c r="W18" s="17" t="inlineStr">
        <is>
          <t>https://www.smebank.com.my/technology-adoption-fund-techad</t>
        </is>
      </c>
      <c r="X18" s="15" t="inlineStr">
        <is>
          <t>Official</t>
        </is>
      </c>
      <c r="Y18" s="15" t="n"/>
      <c r="Z18" s="15" t="inlineStr">
        <is>
          <t>RM100k minimum is oversized for a micro café.</t>
        </is>
      </c>
      <c r="AA18" s="18" t="n">
        <v>46305</v>
      </c>
    </row>
    <row r="19" ht="22.35" customHeight="1" s="12">
      <c r="A19" s="15" t="inlineStr">
        <is>
          <t>CRADLE-SPRINT</t>
        </is>
      </c>
      <c r="B19" s="15" t="inlineStr">
        <is>
          <t>CIP Sprint</t>
        </is>
      </c>
      <c r="C19" s="15" t="inlineStr">
        <is>
          <t>Cradle Fund</t>
        </is>
      </c>
      <c r="D19" s="15" t="inlineStr">
        <is>
          <t>Conditional grant</t>
        </is>
      </c>
      <c r="E19" s="15" t="n"/>
      <c r="F19" s="16" t="n">
        <v>600000</v>
      </c>
      <c r="G19" s="15" t="inlineStr">
        <is>
          <t>Convertible commercialisation grant (repayable if terminated)</t>
        </is>
      </c>
      <c r="H19" s="15" t="inlineStr">
        <is>
          <t>Up to 18 months</t>
        </is>
      </c>
      <c r="I19" s="15" t="inlineStr">
        <is>
          <t>≥51% Malaysian (or majority Malaysian staff); no entity ≥25%</t>
        </is>
      </c>
      <c r="J19" s="15" t="inlineStr">
        <is>
          <t>N</t>
        </is>
      </c>
      <c r="K19" s="15" t="inlineStr">
        <is>
          <t>N</t>
        </is>
      </c>
      <c r="L19" s="15" t="inlineStr">
        <is>
          <t>n/a</t>
        </is>
      </c>
      <c r="M19" s="15" t="inlineStr">
        <is>
          <t>Incorporated &lt; 7 years</t>
        </is>
      </c>
      <c r="N19" s="15" t="inlineStr">
        <is>
          <t>Accumulated revenue ≤ RM5m</t>
        </is>
      </c>
      <c r="O19" s="15" t="inlineStr">
        <is>
          <t>Sdn Bhd only; owns tech IP; ≥2 directors; paid-up ≥ RM10k; tech-based venture</t>
        </is>
      </c>
      <c r="P19" s="15" t="inlineStr">
        <is>
          <t>Technology</t>
        </is>
      </c>
      <c r="Q19" s="15" t="inlineStr">
        <is>
          <t>Pitch deck (Cradle template); eligibility docs after shortlisting</t>
        </is>
      </c>
      <c r="R19" s="15" t="inlineStr">
        <is>
          <t>not stated</t>
        </is>
      </c>
      <c r="S19" s="15" t="n"/>
      <c r="T19" s="15">
        <f>IF(S19="","",S19-TODAY())</f>
        <v/>
      </c>
      <c r="U19" s="15" t="inlineStr">
        <is>
          <t>Open (rolling)</t>
        </is>
      </c>
      <c r="V19" s="15" t="inlineStr">
        <is>
          <t>gms.cradle.com.my</t>
        </is>
      </c>
      <c r="W19" s="17" t="inlineStr">
        <is>
          <t>https://cradle.com.my/grants/cip-sprint/</t>
        </is>
      </c>
      <c r="X19" s="15" t="inlineStr">
        <is>
          <t>Official</t>
        </is>
      </c>
      <c r="Y19" s="15" t="n"/>
      <c r="Z19" s="15" t="inlineStr">
        <is>
          <t>Not for the café. Relevant to YOUR team if you incorporate.</t>
        </is>
      </c>
      <c r="AA19" s="18" t="n">
        <v>46305</v>
      </c>
    </row>
    <row r="20" ht="22.35" customHeight="1" s="12">
      <c r="A20" s="15" t="inlineStr">
        <is>
          <t>MIDA-DIAF-ESG</t>
        </is>
      </c>
      <c r="B20" s="15" t="inlineStr">
        <is>
          <t>Domestic Investment Accelerator Fund – ESG Adoption (DIAF-ESG)</t>
        </is>
      </c>
      <c r="C20" s="15" t="inlineStr">
        <is>
          <t>MIDA</t>
        </is>
      </c>
      <c r="D20" s="15" t="inlineStr">
        <is>
          <t>Matching grant</t>
        </is>
      </c>
      <c r="E20" s="15" t="n"/>
      <c r="F20" s="16" t="n">
        <v>500000</v>
      </c>
      <c r="G20" s="15" t="inlineStr">
        <is>
          <t>50:50 matching, reimbursable</t>
        </is>
      </c>
      <c r="H20" s="15" t="inlineStr">
        <is>
          <t>n/a</t>
        </is>
      </c>
      <c r="I20" s="15" t="inlineStr">
        <is>
          <t>Malaysian-owned</t>
        </is>
      </c>
      <c r="J20" s="15" t="inlineStr">
        <is>
          <t>N</t>
        </is>
      </c>
      <c r="K20" s="15" t="inlineStr">
        <is>
          <t>N</t>
        </is>
      </c>
      <c r="L20" s="15" t="inlineStr">
        <is>
          <t>n/a</t>
        </is>
      </c>
      <c r="M20" s="15" t="inlineStr">
        <is>
          <t>not stated</t>
        </is>
      </c>
      <c r="N20" s="15" t="inlineStr">
        <is>
          <t>not stated</t>
        </is>
      </c>
      <c r="O20" s="15" t="inlineStr">
        <is>
          <t>SMEs and Mid-Tier Companies in manufacturing and selected services; ESG adoption</t>
        </is>
      </c>
      <c r="P20" s="15" t="inlineStr">
        <is>
          <t>Manufacturing, selected services</t>
        </is>
      </c>
      <c r="Q20" s="15" t="inlineStr">
        <is>
          <t>See Guidelines PDF (27 Apr 2026)</t>
        </is>
      </c>
      <c r="R20" s="15" t="inlineStr">
        <is>
          <t>31 Oct 2026</t>
        </is>
      </c>
      <c r="S20" s="18" t="n">
        <v>46326</v>
      </c>
      <c r="T20" s="15">
        <f>IF(S20="","",S20-TODAY())</f>
        <v/>
      </c>
      <c r="U20" s="15" t="inlineStr">
        <is>
          <t>Open — closes in 3 weeks</t>
        </is>
      </c>
      <c r="V20" s="15" t="inlineStr">
        <is>
          <t>Self-assessment at sustainability.mida.gov.my, then InvestMalaysia portal</t>
        </is>
      </c>
      <c r="W20" s="17" t="inlineStr">
        <is>
          <t>https://www.mida.gov.my/forms-and-guidelines/special-tax-incentives-under-penjana/the-domestic-investment-accelerator-fund-diaf-esg-adoption/</t>
        </is>
      </c>
      <c r="X20" s="15" t="inlineStr">
        <is>
          <t>Official</t>
        </is>
      </c>
      <c r="Y20" s="15" t="n"/>
      <c r="Z20" s="15" t="inlineStr">
        <is>
          <t>Good test case for deadline alerts.</t>
        </is>
      </c>
      <c r="AA20" s="18" t="n">
        <v>46305</v>
      </c>
    </row>
    <row r="21" ht="32.8" customHeight="1" s="12">
      <c r="A21" s="15" t="inlineStr">
        <is>
          <t>HIJRAH-NIAGAPLUS</t>
        </is>
      </c>
      <c r="B21" s="15" t="inlineStr">
        <is>
          <t>Hijrah Selangor NIAGA PLUS</t>
        </is>
      </c>
      <c r="C21" s="15" t="inlineStr">
        <is>
          <t>Yayasan Hijrah Selangor (state)</t>
        </is>
      </c>
      <c r="D21" s="15" t="inlineStr">
        <is>
          <t>Microfinance</t>
        </is>
      </c>
      <c r="E21" s="15" t="n"/>
      <c r="F21" s="15" t="n"/>
      <c r="G21" s="15" t="inlineStr">
        <is>
          <t>Annual service charge (tawarruq); rate not published</t>
        </is>
      </c>
      <c r="H21" s="15" t="inlineStr">
        <is>
          <t>Up to 5 years</t>
        </is>
      </c>
      <c r="I21" s="15" t="inlineStr">
        <is>
          <t>Individual entrepreneurs who are registered voters and residents of Selangor</t>
        </is>
      </c>
      <c r="J21" s="15" t="inlineStr">
        <is>
          <t>N</t>
        </is>
      </c>
      <c r="K21" s="15" t="inlineStr">
        <is>
          <t>N</t>
        </is>
      </c>
      <c r="L21" s="15" t="inlineStr">
        <is>
          <t>18–65</t>
        </is>
      </c>
      <c r="M21" s="15" t="inlineStr">
        <is>
          <t>1 year</t>
        </is>
      </c>
      <c r="N21" s="15" t="inlineStr">
        <is>
          <t>not stated</t>
        </is>
      </c>
      <c r="O21" s="15" t="inlineStr">
        <is>
          <t>Must vote and reside in Selangor; guarantor if required; for working capital, asset purchase and business premises renovation. Max RM50,000 reported by RinggitPlus (28 Jul 2026), not shown on the Hijrah site. Sister schemes: SURI PLUS (Selangor women), DANA Pantas, iTEKAD</t>
        </is>
      </c>
      <c r="P21" s="15" t="inlineStr">
        <is>
          <t>All</t>
        </is>
      </c>
      <c r="Q21" s="15" t="inlineStr">
        <is>
          <t>Copy of applicant's IC; latest 6 months bank statements; copy of SSM registration / PBT licence / agency or professional-body registration; copy of home or business premises utility bill; other supporting documents requested by Hijrah Selangor</t>
        </is>
      </c>
      <c r="R21" s="15" t="inlineStr">
        <is>
          <t>not stated</t>
        </is>
      </c>
      <c r="S21" s="15" t="n"/>
      <c r="T21" s="15">
        <f>IF(S21="","",S21-TODAY())</f>
        <v/>
      </c>
      <c r="U21" s="15" t="inlineStr">
        <is>
          <t>Listed</t>
        </is>
      </c>
      <c r="V21" s="15" t="inlineStr">
        <is>
          <t>DANA PLUS app (guide at hijrahselangor.com/pages/cara-permohonan-pembiayaan) or any Hijrah Selangor branch; WhatsApp 016-912 1692</t>
        </is>
      </c>
      <c r="W21" s="17" t="inlineStr">
        <is>
          <t>https://hijrahselangor.com/pages/niaga-plus</t>
        </is>
      </c>
      <c r="X21" s="15" t="inlineStr">
        <is>
          <t>Official (eligibility and documents are images on the page, read 2026-10-10)</t>
        </is>
      </c>
      <c r="Y21" s="19" t="inlineStr">
        <is>
          <t>VERIFY max amount and service-charge rate (not on Hijrah site)</t>
        </is>
      </c>
      <c r="Z21" s="15" t="inlineStr">
        <is>
          <t>Eligibility (age, Selangor voter and resident, ≥1 year operating, ≤5 years tenure) and documents now confirmed from the official page images. Still unconfirmed: maximum amount (RM50k comes only from RinggitPlus, 28 Jul 2026, https://ringgitplus.com/en/blog/business-loan/selangor-micro-financing-approval-now-takes-48-hours.html) and the service-charge rate, which the Hijrah site does not publish. Voter registration is not in the ledger: agent must ask. State-level scheme for Selangor businesses.</t>
        </is>
      </c>
      <c r="AA21" s="18" t="n">
        <v>46305</v>
      </c>
    </row>
  </sheetData>
  <hyperlinks>
    <hyperlink xmlns:r="http://schemas.openxmlformats.org/officeDocument/2006/relationships" ref="W2" display="https://www.tekun.gov.my/en/tekun-niaga-financing-scheme-conditions/" r:id="rId1"/>
    <hyperlink xmlns:r="http://schemas.openxmlformats.org/officeDocument/2006/relationships" ref="W3" display="https://ringgitplus.com/ms/blog/sudut-pakar/nak-modal-bisnes-ini-perbezaan-tekun-aim-dan-bsn-madani-belia-yang-anda-perlu-tahu.html" r:id="rId2"/>
    <hyperlink xmlns:r="http://schemas.openxmlformats.org/officeDocument/2006/relationships" ref="W4" display="https://www.malaymail.com/news/malaysia/2026/05/16/pm-launches-paduri-madani-scheme-to-empower-b40-women-entrepreneurs-with-loans-up-to-rm30000/220175" r:id="rId3"/>
    <hyperlink xmlns:r="http://schemas.openxmlformats.org/officeDocument/2006/relationships" ref="W5" display="https://www.bsn.com.my/cms/upload/pdf/business/madani/faq/madani_belia.pdf" r:id="rId4"/>
    <hyperlink xmlns:r="http://schemas.openxmlformats.org/officeDocument/2006/relationships" ref="W6" display="https://bsn.com.my/page/MSMEMadani" r:id="rId5"/>
    <hyperlink xmlns:r="http://schemas.openxmlformats.org/officeDocument/2006/relationships" ref="W7" display="https://www.bnm.gov.my/funds4sme" r:id="rId6"/>
    <hyperlink xmlns:r="http://schemas.openxmlformats.org/officeDocument/2006/relationships" ref="W8" display="https://www.bnm.gov.my/microfinance" r:id="rId7"/>
    <hyperlink xmlns:r="http://schemas.openxmlformats.org/officeDocument/2006/relationships" ref="W9" display="https://www.bnm.gov.my/funds4sme" r:id="rId8"/>
    <hyperlink xmlns:r="http://schemas.openxmlformats.org/officeDocument/2006/relationships" ref="W10" display="https://www.bnm.gov.my/funds4sme" r:id="rId9"/>
    <hyperlink xmlns:r="http://schemas.openxmlformats.org/officeDocument/2006/relationships" ref="W11" display="https://www.cgc.com.my/?p=18289" r:id="rId10"/>
    <hyperlink xmlns:r="http://schemas.openxmlformats.org/officeDocument/2006/relationships" ref="W12" display="https://www.cgc.com.my/bizwanita-i" r:id="rId11"/>
    <hyperlink xmlns:r="http://schemas.openxmlformats.org/officeDocument/2006/relationships" ref="W13" display="https://sjpp.com.my/schemes/government-guarantee-scheme-madani-2026-ggsm-4" r:id="rId12"/>
    <hyperlink xmlns:r="http://schemas.openxmlformats.org/officeDocument/2006/relationships" ref="W14" display="https://www.sjpp.com.my/" r:id="rId13"/>
    <hyperlink xmlns:r="http://schemas.openxmlformats.org/officeDocument/2006/relationships" ref="W15" display="https://www.selangor.gov.my/gombak/resources/2023/PINJAMAN_DAN_PEMBIAYAAN_MARA.pdf" r:id="rId14"/>
    <hyperlink xmlns:r="http://schemas.openxmlformats.org/officeDocument/2006/relationships" ref="W16" display="https://www.punb.com.my/wp-content/uploads/2026/04/2026-PDS-PROSPER-GROW-BI.pdf" r:id="rId15"/>
    <hyperlink xmlns:r="http://schemas.openxmlformats.org/officeDocument/2006/relationships" ref="W17" display="https://www.thestar.com.my/news/nation/2026/07/22/agrobank-gpppkmm-team-up-to-boost-hawker-financing-nationwide" r:id="rId16"/>
    <hyperlink xmlns:r="http://schemas.openxmlformats.org/officeDocument/2006/relationships" ref="W18" display="https://www.smebank.com.my/technology-adoption-fund-techad" r:id="rId17"/>
    <hyperlink xmlns:r="http://schemas.openxmlformats.org/officeDocument/2006/relationships" ref="W19" display="https://cradle.com.my/grants/cip-sprint/" r:id="rId18"/>
    <hyperlink xmlns:r="http://schemas.openxmlformats.org/officeDocument/2006/relationships" ref="W20" display="https://www.mida.gov.my/forms-and-guidelines/special-tax-incentives-under-penjana/the-domestic-investment-accelerator-fund-diaf-esg-adoption/" r:id="rId19"/>
    <hyperlink xmlns:r="http://schemas.openxmlformats.org/officeDocument/2006/relationships" ref="W21" display="https://www.hijrahselangor.com/pages/niaga-plus" r:id="rId20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2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1" min="1" max="1"/>
  </cols>
  <sheetData>
    <row r="1" ht="15" customHeight="1" s="12">
      <c r="A1" s="20" t="inlineStr">
        <is>
          <t>Funding DB summary</t>
        </is>
      </c>
    </row>
    <row r="3" ht="15" customHeight="1" s="12">
      <c r="A3" s="21" t="inlineStr">
        <is>
          <t>Programmes in DB</t>
        </is>
      </c>
      <c r="B3" s="22">
        <f>COUNTA(Programs!A2:A21)</f>
        <v/>
      </c>
    </row>
    <row r="4" ht="15" customHeight="1" s="12">
      <c r="A4" s="21" t="inlineStr">
        <is>
          <t>Bumiputera-only</t>
        </is>
      </c>
      <c r="B4" s="22">
        <f>COUNTIF(Programs!J2:J21,"Y")</f>
        <v/>
      </c>
    </row>
    <row r="5" ht="15" customHeight="1" s="12">
      <c r="A5" s="21" t="inlineStr">
        <is>
          <t>Women-only</t>
        </is>
      </c>
      <c r="B5" s="22">
        <f>COUNTIF(Programs!K2:K21,"Y")</f>
        <v/>
      </c>
    </row>
    <row r="6" ht="15" customHeight="1" s="12">
      <c r="A6" s="21" t="inlineStr">
        <is>
          <t>Need verification</t>
        </is>
      </c>
      <c r="B6" s="22">
        <f>COUNTIF(Programs!Y2:Y21,"VERIFY*")</f>
        <v/>
      </c>
    </row>
    <row r="7" ht="15" customHeight="1" s="12">
      <c r="A7" s="21" t="inlineStr">
        <is>
          <t>Closing within 60 days</t>
        </is>
      </c>
      <c r="B7" s="22">
        <f>COUNTIFS(Programs!T2:T21,"&gt;=0",Programs!T2:T21,"&lt;=60")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2026-10-10T05:32:13Z</dcterms:created>
  <dcterms:modified xsi:type="dcterms:W3CDTF">2026-10-10T08:04:27Z</dcterms:modified>
  <cp:revision>0</cp:revision>
</cp:coreProperties>
</file>